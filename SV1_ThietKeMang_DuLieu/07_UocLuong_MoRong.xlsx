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n_Work_Space\Dự_án_Liên\SV1_ThietKeMang_DuLieu\"/>
    </mc:Choice>
  </mc:AlternateContent>
  <xr:revisionPtr revIDLastSave="0" documentId="8_{92DB86F1-F478-4D36-9DC0-8865D5D924F1}" xr6:coauthVersionLast="47" xr6:coauthVersionMax="47" xr10:uidLastSave="{00000000-0000-0000-0000-000000000000}"/>
  <bookViews>
    <workbookView xWindow="-108" yWindow="-108" windowWidth="23256" windowHeight="12456" activeTab="1" xr2:uid="{20873814-F468-4D5B-ABC1-17E545F22766}"/>
  </bookViews>
  <sheets>
    <sheet name="GiaDinh" sheetId="1" r:id="rId1"/>
    <sheet name="UocLuong" sheetId="2" r:id="rId2"/>
    <sheet name="KetLuan" sheetId="3" r:id="rId3"/>
    <sheet name="ThuTai_GiaLap" sheetId="4" r:id="rId4"/>
  </sheets>
  <definedNames>
    <definedName name="ByteMang">GiaDinh!$C$12</definedName>
    <definedName name="BytePerGD">GiaDinh!$C$11</definedName>
    <definedName name="CongCoDay">GiaDinh!$C$17</definedName>
    <definedName name="GioNgay">GiaDinh!$C$9</definedName>
    <definedName name="HeSo">GiaDinh!$C$6</definedName>
    <definedName name="IPVlan30">GiaDinh!$C$20</definedName>
    <definedName name="KhoangCach">GiaDinh!$C$7</definedName>
    <definedName name="MaxGDNgay">GiaDinh!$C$21</definedName>
    <definedName name="MaxSP">GiaDinh!$C$22</definedName>
    <definedName name="MaxWifi">GiaDinh!$C$19</definedName>
    <definedName name="NamLuu">GiaDinh!$C$24</definedName>
    <definedName name="NangLuc">GiaDinh!$C$14</definedName>
    <definedName name="NAS">GiaDinh!$C$16</definedName>
    <definedName name="NgayNam">GiaDinh!$C$10</definedName>
    <definedName name="NguongCanhBao">GiaDinh!$C$23</definedName>
    <definedName name="SoBanSao">GiaDinh!$C$15</definedName>
    <definedName name="SoDiem">GiaDinh!$C$5</definedName>
    <definedName name="TiLeCoDay">GiaDinh!$C$18</definedName>
    <definedName name="TiLeTB">GiaDinh!$C$8</definedName>
    <definedName name="TocDoCong">GiaDinh!$C$13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3" l="1"/>
  <c r="B8" i="3"/>
  <c r="B7" i="3"/>
  <c r="B6" i="3"/>
  <c r="B5" i="3"/>
  <c r="J21" i="2"/>
  <c r="I21" i="2"/>
  <c r="G20" i="2"/>
  <c r="F20" i="2"/>
  <c r="E20" i="2"/>
  <c r="J19" i="2"/>
  <c r="I19" i="2"/>
  <c r="H19" i="2"/>
  <c r="G19" i="2"/>
  <c r="F19" i="2"/>
  <c r="E19" i="2"/>
  <c r="J18" i="2"/>
  <c r="I18" i="2"/>
  <c r="H18" i="2"/>
  <c r="G18" i="2"/>
  <c r="F18" i="2"/>
  <c r="E18" i="2"/>
  <c r="J17" i="2"/>
  <c r="I17" i="2"/>
  <c r="H17" i="2"/>
  <c r="G17" i="2"/>
  <c r="F17" i="2"/>
  <c r="E17" i="2"/>
  <c r="N16" i="2"/>
  <c r="J16" i="2"/>
  <c r="I16" i="2"/>
  <c r="H16" i="2"/>
  <c r="G16" i="2"/>
  <c r="F16" i="2"/>
  <c r="E16" i="2"/>
  <c r="J15" i="2"/>
  <c r="I15" i="2"/>
  <c r="H15" i="2"/>
  <c r="G15" i="2"/>
  <c r="F15" i="2"/>
  <c r="E15" i="2"/>
  <c r="G14" i="2"/>
  <c r="F14" i="2"/>
  <c r="E14" i="2"/>
  <c r="G13" i="2"/>
  <c r="F13" i="2"/>
  <c r="E13" i="2"/>
  <c r="N12" i="2"/>
  <c r="G12" i="2"/>
  <c r="F12" i="2"/>
  <c r="E12" i="2"/>
  <c r="G11" i="2"/>
  <c r="F11" i="2"/>
  <c r="E11" i="2"/>
  <c r="G10" i="2"/>
  <c r="F10" i="2"/>
  <c r="E10" i="2"/>
  <c r="N9" i="2"/>
  <c r="G9" i="2"/>
  <c r="F9" i="2"/>
  <c r="E9" i="2"/>
  <c r="J8" i="2"/>
  <c r="I8" i="2"/>
  <c r="H8" i="2"/>
  <c r="G8" i="2"/>
  <c r="F8" i="2"/>
  <c r="E8" i="2"/>
  <c r="G7" i="2"/>
  <c r="F7" i="2"/>
  <c r="E7" i="2"/>
  <c r="N6" i="2"/>
  <c r="J6" i="2"/>
  <c r="I6" i="2"/>
  <c r="H6" i="2"/>
  <c r="G6" i="2"/>
  <c r="F6" i="2"/>
  <c r="E6" i="2"/>
  <c r="J5" i="2"/>
  <c r="I5" i="2"/>
  <c r="H5" i="2"/>
  <c r="G5" i="2"/>
  <c r="F5" i="2"/>
  <c r="E5" i="2"/>
</calcChain>
</file>

<file path=xl/sharedStrings.xml><?xml version="1.0" encoding="utf-8"?>
<sst xmlns="http://schemas.openxmlformats.org/spreadsheetml/2006/main" count="225" uniqueCount="196">
  <si>
    <t>ĐỀ TÀI 22 – GIẢ ĐỊNH CHO MÔ HÌNH ƯỚC LƯỢNG KHI TĂNG TỪ 2 LÊN 4 ĐIỂM QUÉT</t>
  </si>
  <si>
    <t>ĐÂY LÀ ƯỚC LƯỢNG, CHƯA ĐO THỰC TẾ. Chữ xanh = giả định nhập tay (sửa được). Nền vàng = giả định then chốt.</t>
  </si>
  <si>
    <t>Mã</t>
  </si>
  <si>
    <t>Giả định</t>
  </si>
  <si>
    <t>Giá trị</t>
  </si>
  <si>
    <t>Đơn vị</t>
  </si>
  <si>
    <t>Tên dùng trong công thức</t>
  </si>
  <si>
    <t>Nguồn / căn cứ</t>
  </si>
  <si>
    <t>G01</t>
  </si>
  <si>
    <t>Số điểm quét hiện tại</t>
  </si>
  <si>
    <t>điểm</t>
  </si>
  <si>
    <t>SoDiem</t>
  </si>
  <si>
    <t>Phiếu giao đề – yêu cầu 2 (mô phỏng 2 điểm quét)</t>
  </si>
  <si>
    <t>G02</t>
  </si>
  <si>
    <t>Hệ số mở rộng số điểm quét</t>
  </si>
  <si>
    <t>lần</t>
  </si>
  <si>
    <t>HeSo</t>
  </si>
  <si>
    <t>Phiếu giao đề – yêu cầu 4 (tăng gấp đôi)</t>
  </si>
  <si>
    <t>G03</t>
  </si>
  <si>
    <t>Khoảng cách giữa 2 lần quét lúc cao điểm</t>
  </si>
  <si>
    <t>giây/GD/điểm</t>
  </si>
  <si>
    <t>KhoangCach</t>
  </si>
  <si>
    <t>Giả định G2 của nhóm (03_ThietKeDuLieu, mục 2)</t>
  </si>
  <si>
    <t>G04</t>
  </si>
  <si>
    <t>Tỉ lệ tải trung bình so với tải đỉnh</t>
  </si>
  <si>
    <t>%</t>
  </si>
  <si>
    <t>TiLeTB</t>
  </si>
  <si>
    <t>Giả định nhóm: trong ca không quét liên tục</t>
  </si>
  <si>
    <t>G05</t>
  </si>
  <si>
    <t>Giờ làm việc mỗi ngày</t>
  </si>
  <si>
    <t>giờ</t>
  </si>
  <si>
    <t>GioNgay</t>
  </si>
  <si>
    <t>Giả định G2: 1 ca 8 giờ</t>
  </si>
  <si>
    <t>G06</t>
  </si>
  <si>
    <t>Ngày làm việc mỗi năm</t>
  </si>
  <si>
    <t>ngày</t>
  </si>
  <si>
    <t>NgayNam</t>
  </si>
  <si>
    <t>Giả định G2</t>
  </si>
  <si>
    <t>G07</t>
  </si>
  <si>
    <t>Dung lượng CSDL cho mỗi giao dịch</t>
  </si>
  <si>
    <t>byte</t>
  </si>
  <si>
    <t>BytePerGD</t>
  </si>
  <si>
    <t>ĐO THẬT: du_lieu/do_dung_luong.py ngày 26/10/2026, 100.000 GD (gồm bảng, 2 chỉ mục, AuditLog)</t>
  </si>
  <si>
    <t>G08</t>
  </si>
  <si>
    <t>Dữ liệu mạng cho mỗi giao dịch (yêu cầu + phản hồi + TCP/HTTP)</t>
  </si>
  <si>
    <t>ByteMang</t>
  </si>
  <si>
    <t>Ước lượng: JSON ~250 B + header HTTP ~400 B mỗi chiều + bắt tay/đóng TCP; SV4 đo lại bằng Wireshark</t>
  </si>
  <si>
    <t>G09</t>
  </si>
  <si>
    <t>Tốc độ cổng mạng nhỏ nhất trên đường đi</t>
  </si>
  <si>
    <t>Mbit/s</t>
  </si>
  <si>
    <t>TocDoCong</t>
  </si>
  <si>
    <t>Cổng FastEthernet của switch 2960 (01_SoDoHaTang)</t>
  </si>
  <si>
    <t>G10</t>
  </si>
  <si>
    <t>Năng lực xử lý ước lượng của máy chủ</t>
  </si>
  <si>
    <t>GD/s</t>
  </si>
  <si>
    <t>NangLuc</t>
  </si>
  <si>
    <t>Giả định thận trọng = ½ kết quả chạy thử máy chủ giả lập (~100 GD/s, sheet ThuTai_GiaLap); SV4 đo trên máy chủ SV3</t>
  </si>
  <si>
    <t>G11</t>
  </si>
  <si>
    <t>Số bản sao lưu giữ lại</t>
  </si>
  <si>
    <t>bản</t>
  </si>
  <si>
    <t>SoBanSao</t>
  </si>
  <si>
    <t>Thiết kế sao lưu: 7 bản ngày + 4 bản tuần</t>
  </si>
  <si>
    <t>G12</t>
  </si>
  <si>
    <t>Dung lượng NAS dùng được</t>
  </si>
  <si>
    <t>GB</t>
  </si>
  <si>
    <t>NAS</t>
  </si>
  <si>
    <t>NAS 2 × 1 TB RAID 1 (03_ThietKeDuLieu, mục 3.2)</t>
  </si>
  <si>
    <t>G13</t>
  </si>
  <si>
    <t>Số cổng switch dành cho điểm quét có dây</t>
  </si>
  <si>
    <t>cổng</t>
  </si>
  <si>
    <t>CongCoDay</t>
  </si>
  <si>
    <t>SW1-KHO: Fa0/9-10 và Fa0/12-16 (Fa0/11 cho AP)</t>
  </si>
  <si>
    <t>G14</t>
  </si>
  <si>
    <t>Tỉ lệ điểm quét dùng cáp</t>
  </si>
  <si>
    <t>TiLeCoDay</t>
  </si>
  <si>
    <t>Thiết kế hiện tại: SP01 có dây, SP02 Wi-Fi</t>
  </si>
  <si>
    <t>G15</t>
  </si>
  <si>
    <t>Số máy quét Wi-Fi khuyến nghị tối đa trên 1 AP</t>
  </si>
  <si>
    <t>thiết bị</t>
  </si>
  <si>
    <t>MaxWifi</t>
  </si>
  <si>
    <t>Mức thông dụng cho AP văn phòng; cần khảo sát sóng thực tế (Packet Tracer không chứng minh được)</t>
  </si>
  <si>
    <t>G16</t>
  </si>
  <si>
    <t>Số địa chỉ dùng được của VLAN 30</t>
  </si>
  <si>
    <t>địa chỉ</t>
  </si>
  <si>
    <t>IPVlan30</t>
  </si>
  <si>
    <t>Mạng /24: 256 − mạng − broadcast − gateway</t>
  </si>
  <si>
    <t>G17</t>
  </si>
  <si>
    <t>Giới hạn giao dịch/ngày/điểm của txn_id</t>
  </si>
  <si>
    <t>GD</t>
  </si>
  <si>
    <t>MaxGDNgay</t>
  </si>
  <si>
    <t>Định dạng SPxx-yyyymmdd-nnnn (4 chữ số)</t>
  </si>
  <si>
    <t>G18</t>
  </si>
  <si>
    <t>Số điểm quét tối đa theo mã SP##</t>
  </si>
  <si>
    <t>MaxSP</t>
  </si>
  <si>
    <t>CHECK scan_point_id GLOB 'SP[0-9][0-9]' (schema.sql)</t>
  </si>
  <si>
    <t>G19</t>
  </si>
  <si>
    <t>Ngưỡng cảnh báo mức sử dụng</t>
  </si>
  <si>
    <t>NguongCanhBao</t>
  </si>
  <si>
    <t>Quy ước nhóm: vượt 70% phải lên kế hoạch nâng cấp</t>
  </si>
  <si>
    <t>G20</t>
  </si>
  <si>
    <t>Thời gian lưu dữ liệu trong CSDL</t>
  </si>
  <si>
    <t>năm</t>
  </si>
  <si>
    <t>NamLuu</t>
  </si>
  <si>
    <t>Giả định nhóm</t>
  </si>
  <si>
    <t>ĐỀ TÀI 22 – BẢNG ƯỚC LƯỢNG TÀI NGUYÊN: 2 ĐIỂM QUÉT → 4 ĐIỂM QUÉT</t>
  </si>
  <si>
    <t>ĐÂY LÀ ƯỚC LƯỢNG, CHƯA ĐO THỰC TẾ. Cột E–J là công thức từ sheet GiaDinh. Cột L–M (nền vàng) do SV4 điền số đo thực tế.</t>
  </si>
  <si>
    <t>STT</t>
  </si>
  <si>
    <t>Chỉ tiêu</t>
  </si>
  <si>
    <t>Công thức (diễn giải)</t>
  </si>
  <si>
    <t>2 điểm quét</t>
  </si>
  <si>
    <t>4 điểm quét</t>
  </si>
  <si>
    <t>Tăng (4/2)</t>
  </si>
  <si>
    <t>Giới hạn</t>
  </si>
  <si>
    <t>% dùng ở 4 điểm</t>
  </si>
  <si>
    <t>Đánh giá</t>
  </si>
  <si>
    <t>Thành phần cần xem xét</t>
  </si>
  <si>
    <t>Đo thực tế 2 điểm (SV4)</t>
  </si>
  <si>
    <t>Đo thực tế 4 điểm (SV4)</t>
  </si>
  <si>
    <t>Sai lệch ước lượng – đo (4 điểm)</t>
  </si>
  <si>
    <t>Số điểm quét</t>
  </si>
  <si>
    <t>G01 × (1 hoặc G02)</t>
  </si>
  <si>
    <t>Bảng ScanPoints (SP##), giấy phép/tài khoản</t>
  </si>
  <si>
    <t>Tải đỉnh</t>
  </si>
  <si>
    <t>Số điểm ÷ G03</t>
  </si>
  <si>
    <t>CPU/RAM máy chủ, khả năng ghi đồng thời của CSDL</t>
  </si>
  <si>
    <t>Tải trung bình</t>
  </si>
  <si>
    <t>Tải đỉnh × G04</t>
  </si>
  <si>
    <t>—</t>
  </si>
  <si>
    <t>Giao dịch/ngày/điểm quét (đỉnh)</t>
  </si>
  <si>
    <t>3600 ÷ G03 × G05</t>
  </si>
  <si>
    <t>Định dạng txn_id (4 chữ số)</t>
  </si>
  <si>
    <t>Giao dịch/ngày toàn kho (đỉnh)</t>
  </si>
  <si>
    <t>Số điểm × STT 4</t>
  </si>
  <si>
    <t>Giao dịch/ngày toàn kho (trung bình)</t>
  </si>
  <si>
    <t>STT 5 × G04</t>
  </si>
  <si>
    <t>Giao dịch/năm (trung bình)</t>
  </si>
  <si>
    <t>STT 6 × G06</t>
  </si>
  <si>
    <t>CSDL tăng mỗi ngày (đỉnh)</t>
  </si>
  <si>
    <t>MB</t>
  </si>
  <si>
    <t>STT 5 × G07 ÷ 10^6</t>
  </si>
  <si>
    <t>Ổ SSD máy chủ</t>
  </si>
  <si>
    <t>CSDL sau thời gian lưu (trung bình)</t>
  </si>
  <si>
    <t>STT 7 × G07 × G20 ÷ 10^9</t>
  </si>
  <si>
    <t>CSDL sau thời gian lưu (cận trên – cả năm ở tải đỉnh)</t>
  </si>
  <si>
    <t>STT 5 × G06 × G07 × G20 ÷ 10^9</t>
  </si>
  <si>
    <t>Dung lượng sao lưu cần (cận trên)</t>
  </si>
  <si>
    <t>STT 10 × G11</t>
  </si>
  <si>
    <t>NAS sao lưu, thời gian sao lưu</t>
  </si>
  <si>
    <t>Băng thông đỉnh</t>
  </si>
  <si>
    <t>kbit/s</t>
  </si>
  <si>
    <t>Tải đỉnh × G08 × 8 ÷ 1000</t>
  </si>
  <si>
    <t>Switch, AP Wi-Fi (thông lượng thật cần đo)</t>
  </si>
  <si>
    <t>Cổng switch cho điểm quét có dây</t>
  </si>
  <si>
    <t>LÀM TRÒN LÊN(Số điểm × G14)</t>
  </si>
  <si>
    <t>Switch SW1-KHO (cổng dự phòng Fa0/12-16)</t>
  </si>
  <si>
    <t>Máy quét dùng Wi-Fi</t>
  </si>
  <si>
    <t>Số điểm − STT 13</t>
  </si>
  <si>
    <t>AP-KHO: vùng phủ, số máy kết nối</t>
  </si>
  <si>
    <t>Địa chỉ IP cần trong VLAN 30</t>
  </si>
  <si>
    <t>Số điểm + 1 (quản lý AP)</t>
  </si>
  <si>
    <t>Quy hoạch IP, dải DHCP</t>
  </si>
  <si>
    <t>Tài khoản NHANVIEN (1 người/điểm/ca)</t>
  </si>
  <si>
    <t>tài khoản</t>
  </si>
  <si>
    <t>Số điểm</t>
  </si>
  <si>
    <t>Bảng Users, phân quyền</t>
  </si>
  <si>
    <t>Độ trễ phản hồi p95 (yêu cầu thiết kế)</t>
  </si>
  <si>
    <t>ms</t>
  </si>
  <si>
    <t>Không ước lượng – chỉ đo. Yêu cầu ≤ 500 ms (máy khách chờ tối đa 5 s)</t>
  </si>
  <si>
    <t>Máy chủ, mạng</t>
  </si>
  <si>
    <t>Chú thích màu: chữ xanh dương = số nhập tay · chữ xanh lá = lấy từ sheet GiaDinh · chữ đen = công thức tính · nền vàng = ô SV4 điền số đo · nền xám = chỉ tiêu không đo trực tiếp.</t>
  </si>
  <si>
    <t>Ví dụ cách điền: chạy tai_thu/tai_thu.py trên máy chủ SV3, lấy 'Thông lượng giao dịch mới (GD/s)' của kịch bản 4_diem_quet trong tong_hop.md điền vào M6; p95 điền vào M21.</t>
  </si>
  <si>
    <t>ĐỀ TÀI 22 – KẾT LUẬN ƯỚC LƯỢNG (tự cập nhật theo sheet GiaDinh)</t>
  </si>
  <si>
    <t>ĐÂY LÀ ƯỚC LƯỢNG, CHƯA ĐO THỰC TẾ – cần SV4 đo để xác nhận.</t>
  </si>
  <si>
    <t>Nhận định (công thức)</t>
  </si>
  <si>
    <t>Việc phải làm khi thêm SP03, SP04: chạy du_lieu/seed_mo_rong_4_diem.sql (khai báo ScanPoints + tài khoản nv03, nv04), cắm máy vào Fa0/12-13 hoặc Wi-Fi KHO-QUETMA, cập nhật bảng IP.</t>
  </si>
  <si>
    <t>Thành phần cần theo dõi khi tăng tiếp: (1) năng lực ghi CSDL – SQLite một luồng ghi, chuyển PostgreSQL khi nhiều kho / hàng chục điểm; (2) vùng phủ và số máy trên AP – cần khảo sát sóng thật; (3) thời gian sao lưu khi CSDL lớn; (4) UPS cho máy chủ + switch.</t>
  </si>
  <si>
    <t>Giới hạn của mô hình: G08 (byte mạng/GD) và G10 (năng lực máy chủ) là giả định chưa đo trên hệ thống thật; Packet Tracer không chứng minh thông lượng hay vùng phủ Wi-Fi. SV4 điền cột L–M sheet UocLuong để kiểm chứng.</t>
  </si>
  <si>
    <t>KẾT QUẢ CHẠY THỬ SCRIPT TẢI VỚI MÁY CHỦ GIẢ LẬP (27/10/2026)</t>
  </si>
  <si>
    <t>KHÔNG PHẢI SỐ ĐO HỆ THỐNG THẬT – chỉ để thử script và làm căn cứ chọn giả định G10. Nguồn: tai_thu/ket_qua/*THU_GIA_LAP*/tong_hop.md</t>
  </si>
  <si>
    <t>Nhịp 3 s – 2 điểm</t>
  </si>
  <si>
    <t>Nhịp 3 s – 4 điểm</t>
  </si>
  <si>
    <t>Gắng sức – 2 điểm</t>
  </si>
  <si>
    <t>Gắng sức – 4 điểm</t>
  </si>
  <si>
    <t>Thời gian mỗi kịch bản (s)</t>
  </si>
  <si>
    <t>Tổng yêu cầu</t>
  </si>
  <si>
    <t>Giao dịch mới thành công (201)</t>
  </si>
  <si>
    <t>Gửi trùng / nhận 409</t>
  </si>
  <si>
    <t>47 / 47</t>
  </si>
  <si>
    <t>46 / 46</t>
  </si>
  <si>
    <t>Thông lượng giao dịch mới (GD/s)</t>
  </si>
  <si>
    <t>Độ trễ trung bình (ms)</t>
  </si>
  <si>
    <t>Độ trễ p95 (ms)</t>
  </si>
  <si>
    <t>Độ trễ lớn nhất (ms)</t>
  </si>
  <si>
    <t>Lỗi không mong đợi</t>
  </si>
  <si>
    <t>Đối chiếu tồn sau tải (all_match)</t>
  </si>
  <si>
    <t>Máy chạy thử: laptop của SV1, Windows 11, Python 3.13.2, SQLite 3.45.3, máy chủ giả lập cong_cu_thu/may_chu_gia_lap.py, cổng 18080 (8080 đang bị chương trình khác dùng).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</si>
</sst>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x&quot;"/>
    <numFmt numFmtId="165" formatCode="0.0%"/>
  </numFmts>
  <fonts count="7" x14ac:knownFonts="1">
    <font>
      <sz val="11"/>
      <color theme="1"/>
      <name val="Aptos Narrow"/>
      <family val="2"/>
      <charset val="163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3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/>
    <xf numFmtId="3" fontId="5" fillId="0" borderId="1" xfId="0" applyNumberFormat="1" applyFont="1" applyBorder="1"/>
    <xf numFmtId="3" fontId="5" fillId="3" borderId="1" xfId="0" applyNumberFormat="1" applyFont="1" applyFill="1" applyBorder="1"/>
    <xf numFmtId="9" fontId="5" fillId="3" borderId="1" xfId="0" applyNumberFormat="1" applyFont="1" applyFill="1" applyBorder="1"/>
    <xf numFmtId="9" fontId="5" fillId="0" borderId="1" xfId="0" applyNumberFormat="1" applyFont="1" applyBorder="1"/>
    <xf numFmtId="0" fontId="5" fillId="0" borderId="1" xfId="0" applyFont="1" applyBorder="1"/>
    <xf numFmtId="0" fontId="1" fillId="0" borderId="1" xfId="0" applyFont="1" applyBorder="1" applyAlignment="1">
      <alignment vertical="top"/>
    </xf>
    <xf numFmtId="3" fontId="6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0" fontId="1" fillId="4" borderId="1" xfId="0" applyFont="1" applyFill="1" applyBorder="1" applyAlignment="1">
      <alignment vertical="top"/>
    </xf>
    <xf numFmtId="2" fontId="6" fillId="0" borderId="1" xfId="0" applyNumberFormat="1" applyFont="1" applyBorder="1" applyAlignment="1">
      <alignment vertical="top"/>
    </xf>
    <xf numFmtId="2" fontId="1" fillId="3" borderId="1" xfId="0" applyNumberFormat="1" applyFont="1" applyFill="1" applyBorder="1" applyAlignment="1">
      <alignment vertical="top"/>
    </xf>
    <xf numFmtId="3" fontId="1" fillId="3" borderId="1" xfId="0" applyNumberFormat="1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0" borderId="1" xfId="0" applyFont="1" applyBorder="1" applyAlignment="1">
      <alignment vertical="top" wrapText="1"/>
    </xf>
    <xf numFmtId="16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4305-44FE-411D-9061-A4B54EC71F09}">
  <dimension ref="A1:F24"/>
  <sheetViews>
    <sheetView workbookViewId="0"/>
  </sheetViews>
  <sheetFormatPr defaultRowHeight="13.2" x14ac:dyDescent="0.25"/>
  <cols>
    <col min="1" max="1" width="6.77734375" style="1" customWidth="1"/>
    <col min="2" max="2" width="52.77734375" style="1" customWidth="1"/>
    <col min="3" max="3" width="10.77734375" style="1" customWidth="1"/>
    <col min="4" max="4" width="13.77734375" style="1" customWidth="1"/>
    <col min="5" max="5" width="18.77734375" style="1" customWidth="1"/>
    <col min="6" max="6" width="95.77734375" style="1" customWidth="1"/>
    <col min="7" max="16384" width="8.88671875" style="1"/>
  </cols>
  <sheetData>
    <row r="1" spans="1:6" ht="16.8" x14ac:dyDescent="0.3">
      <c r="A1" s="2" t="s">
        <v>0</v>
      </c>
    </row>
    <row r="2" spans="1:6" x14ac:dyDescent="0.25">
      <c r="A2" s="3" t="s">
        <v>1</v>
      </c>
    </row>
    <row r="4" spans="1:6" ht="66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s="5" t="s">
        <v>8</v>
      </c>
      <c r="B5" s="5" t="s">
        <v>9</v>
      </c>
      <c r="C5" s="6">
        <v>2</v>
      </c>
      <c r="D5" s="5" t="s">
        <v>10</v>
      </c>
      <c r="E5" s="5" t="s">
        <v>11</v>
      </c>
      <c r="F5" s="5" t="s">
        <v>12</v>
      </c>
    </row>
    <row r="6" spans="1:6" x14ac:dyDescent="0.25">
      <c r="A6" s="5" t="s">
        <v>13</v>
      </c>
      <c r="B6" s="5" t="s">
        <v>14</v>
      </c>
      <c r="C6" s="6">
        <v>2</v>
      </c>
      <c r="D6" s="5" t="s">
        <v>15</v>
      </c>
      <c r="E6" s="5" t="s">
        <v>16</v>
      </c>
      <c r="F6" s="5" t="s">
        <v>17</v>
      </c>
    </row>
    <row r="7" spans="1:6" x14ac:dyDescent="0.25">
      <c r="A7" s="5" t="s">
        <v>18</v>
      </c>
      <c r="B7" s="5" t="s">
        <v>19</v>
      </c>
      <c r="C7" s="7">
        <v>3</v>
      </c>
      <c r="D7" s="5" t="s">
        <v>20</v>
      </c>
      <c r="E7" s="5" t="s">
        <v>21</v>
      </c>
      <c r="F7" s="5" t="s">
        <v>22</v>
      </c>
    </row>
    <row r="8" spans="1:6" x14ac:dyDescent="0.25">
      <c r="A8" s="5" t="s">
        <v>23</v>
      </c>
      <c r="B8" s="5" t="s">
        <v>24</v>
      </c>
      <c r="C8" s="8">
        <v>0.5</v>
      </c>
      <c r="D8" s="5" t="s">
        <v>25</v>
      </c>
      <c r="E8" s="5" t="s">
        <v>26</v>
      </c>
      <c r="F8" s="5" t="s">
        <v>27</v>
      </c>
    </row>
    <row r="9" spans="1:6" x14ac:dyDescent="0.25">
      <c r="A9" s="5" t="s">
        <v>28</v>
      </c>
      <c r="B9" s="5" t="s">
        <v>29</v>
      </c>
      <c r="C9" s="6">
        <v>8</v>
      </c>
      <c r="D9" s="5" t="s">
        <v>30</v>
      </c>
      <c r="E9" s="5" t="s">
        <v>31</v>
      </c>
      <c r="F9" s="5" t="s">
        <v>32</v>
      </c>
    </row>
    <row r="10" spans="1:6" x14ac:dyDescent="0.25">
      <c r="A10" s="5" t="s">
        <v>33</v>
      </c>
      <c r="B10" s="5" t="s">
        <v>34</v>
      </c>
      <c r="C10" s="6">
        <v>300</v>
      </c>
      <c r="D10" s="5" t="s">
        <v>35</v>
      </c>
      <c r="E10" s="5" t="s">
        <v>36</v>
      </c>
      <c r="F10" s="5" t="s">
        <v>37</v>
      </c>
    </row>
    <row r="11" spans="1:6" x14ac:dyDescent="0.25">
      <c r="A11" s="5" t="s">
        <v>38</v>
      </c>
      <c r="B11" s="5" t="s">
        <v>39</v>
      </c>
      <c r="C11" s="7">
        <v>301</v>
      </c>
      <c r="D11" s="5" t="s">
        <v>40</v>
      </c>
      <c r="E11" s="5" t="s">
        <v>41</v>
      </c>
      <c r="F11" s="5" t="s">
        <v>42</v>
      </c>
    </row>
    <row r="12" spans="1:6" x14ac:dyDescent="0.25">
      <c r="A12" s="5" t="s">
        <v>43</v>
      </c>
      <c r="B12" s="5" t="s">
        <v>44</v>
      </c>
      <c r="C12" s="7">
        <v>2048</v>
      </c>
      <c r="D12" s="5" t="s">
        <v>40</v>
      </c>
      <c r="E12" s="5" t="s">
        <v>45</v>
      </c>
      <c r="F12" s="5" t="s">
        <v>46</v>
      </c>
    </row>
    <row r="13" spans="1:6" x14ac:dyDescent="0.25">
      <c r="A13" s="5" t="s">
        <v>47</v>
      </c>
      <c r="B13" s="5" t="s">
        <v>48</v>
      </c>
      <c r="C13" s="6">
        <v>100</v>
      </c>
      <c r="D13" s="5" t="s">
        <v>49</v>
      </c>
      <c r="E13" s="5" t="s">
        <v>50</v>
      </c>
      <c r="F13" s="5" t="s">
        <v>51</v>
      </c>
    </row>
    <row r="14" spans="1:6" x14ac:dyDescent="0.25">
      <c r="A14" s="5" t="s">
        <v>52</v>
      </c>
      <c r="B14" s="5" t="s">
        <v>53</v>
      </c>
      <c r="C14" s="7">
        <v>50</v>
      </c>
      <c r="D14" s="5" t="s">
        <v>54</v>
      </c>
      <c r="E14" s="5" t="s">
        <v>55</v>
      </c>
      <c r="F14" s="5" t="s">
        <v>56</v>
      </c>
    </row>
    <row r="15" spans="1:6" x14ac:dyDescent="0.25">
      <c r="A15" s="5" t="s">
        <v>57</v>
      </c>
      <c r="B15" s="5" t="s">
        <v>58</v>
      </c>
      <c r="C15" s="6">
        <v>11</v>
      </c>
      <c r="D15" s="5" t="s">
        <v>59</v>
      </c>
      <c r="E15" s="5" t="s">
        <v>60</v>
      </c>
      <c r="F15" s="5" t="s">
        <v>61</v>
      </c>
    </row>
    <row r="16" spans="1:6" x14ac:dyDescent="0.25">
      <c r="A16" s="5" t="s">
        <v>62</v>
      </c>
      <c r="B16" s="5" t="s">
        <v>63</v>
      </c>
      <c r="C16" s="6">
        <v>1000</v>
      </c>
      <c r="D16" s="5" t="s">
        <v>64</v>
      </c>
      <c r="E16" s="5" t="s">
        <v>65</v>
      </c>
      <c r="F16" s="5" t="s">
        <v>66</v>
      </c>
    </row>
    <row r="17" spans="1:6" x14ac:dyDescent="0.25">
      <c r="A17" s="5" t="s">
        <v>67</v>
      </c>
      <c r="B17" s="5" t="s">
        <v>68</v>
      </c>
      <c r="C17" s="6">
        <v>7</v>
      </c>
      <c r="D17" s="5" t="s">
        <v>69</v>
      </c>
      <c r="E17" s="5" t="s">
        <v>70</v>
      </c>
      <c r="F17" s="5" t="s">
        <v>71</v>
      </c>
    </row>
    <row r="18" spans="1:6" x14ac:dyDescent="0.25">
      <c r="A18" s="5" t="s">
        <v>72</v>
      </c>
      <c r="B18" s="5" t="s">
        <v>73</v>
      </c>
      <c r="C18" s="9">
        <v>0.5</v>
      </c>
      <c r="D18" s="5" t="s">
        <v>25</v>
      </c>
      <c r="E18" s="5" t="s">
        <v>74</v>
      </c>
      <c r="F18" s="5" t="s">
        <v>75</v>
      </c>
    </row>
    <row r="19" spans="1:6" x14ac:dyDescent="0.25">
      <c r="A19" s="5" t="s">
        <v>76</v>
      </c>
      <c r="B19" s="5" t="s">
        <v>77</v>
      </c>
      <c r="C19" s="6">
        <v>25</v>
      </c>
      <c r="D19" s="5" t="s">
        <v>78</v>
      </c>
      <c r="E19" s="5" t="s">
        <v>79</v>
      </c>
      <c r="F19" s="5" t="s">
        <v>80</v>
      </c>
    </row>
    <row r="20" spans="1:6" x14ac:dyDescent="0.25">
      <c r="A20" s="5" t="s">
        <v>81</v>
      </c>
      <c r="B20" s="5" t="s">
        <v>82</v>
      </c>
      <c r="C20" s="6">
        <v>253</v>
      </c>
      <c r="D20" s="5" t="s">
        <v>83</v>
      </c>
      <c r="E20" s="5" t="s">
        <v>84</v>
      </c>
      <c r="F20" s="5" t="s">
        <v>85</v>
      </c>
    </row>
    <row r="21" spans="1:6" x14ac:dyDescent="0.25">
      <c r="A21" s="5" t="s">
        <v>86</v>
      </c>
      <c r="B21" s="5" t="s">
        <v>87</v>
      </c>
      <c r="C21" s="6">
        <v>9999</v>
      </c>
      <c r="D21" s="5" t="s">
        <v>88</v>
      </c>
      <c r="E21" s="5" t="s">
        <v>89</v>
      </c>
      <c r="F21" s="5" t="s">
        <v>90</v>
      </c>
    </row>
    <row r="22" spans="1:6" x14ac:dyDescent="0.25">
      <c r="A22" s="5" t="s">
        <v>91</v>
      </c>
      <c r="B22" s="5" t="s">
        <v>92</v>
      </c>
      <c r="C22" s="6">
        <v>99</v>
      </c>
      <c r="D22" s="5" t="s">
        <v>10</v>
      </c>
      <c r="E22" s="5" t="s">
        <v>93</v>
      </c>
      <c r="F22" s="5" t="s">
        <v>94</v>
      </c>
    </row>
    <row r="23" spans="1:6" x14ac:dyDescent="0.25">
      <c r="A23" s="5" t="s">
        <v>95</v>
      </c>
      <c r="B23" s="5" t="s">
        <v>96</v>
      </c>
      <c r="C23" s="9">
        <v>0.7</v>
      </c>
      <c r="D23" s="5" t="s">
        <v>25</v>
      </c>
      <c r="E23" s="5" t="s">
        <v>97</v>
      </c>
      <c r="F23" s="5" t="s">
        <v>98</v>
      </c>
    </row>
    <row r="24" spans="1:6" x14ac:dyDescent="0.25">
      <c r="A24" s="5" t="s">
        <v>99</v>
      </c>
      <c r="B24" s="5" t="s">
        <v>100</v>
      </c>
      <c r="C24" s="6">
        <v>1</v>
      </c>
      <c r="D24" s="5" t="s">
        <v>101</v>
      </c>
      <c r="E24" s="5" t="s">
        <v>102</v>
      </c>
      <c r="F24" s="5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4F8F-66D8-4D95-AA07-FCC6D70F79C9}">
  <dimension ref="A1:N24"/>
  <sheetViews>
    <sheetView tabSelected="1" workbookViewId="0"/>
  </sheetViews>
  <sheetFormatPr defaultRowHeight="13.2" x14ac:dyDescent="0.25"/>
  <cols>
    <col min="1" max="1" width="5.77734375" style="1" customWidth="1"/>
    <col min="2" max="2" width="40.77734375" style="1" customWidth="1"/>
    <col min="3" max="3" width="9.77734375" style="1" customWidth="1"/>
    <col min="4" max="4" width="38.77734375" style="1" customWidth="1"/>
    <col min="5" max="6" width="12.77734375" style="1" customWidth="1"/>
    <col min="7" max="7" width="9.77734375" style="1" customWidth="1"/>
    <col min="8" max="9" width="11.77734375" style="1" customWidth="1"/>
    <col min="10" max="10" width="22.77734375" style="1" customWidth="1"/>
    <col min="11" max="11" width="40.77734375" style="1" customWidth="1"/>
    <col min="12" max="13" width="13.77734375" style="1" customWidth="1"/>
    <col min="14" max="14" width="14.77734375" style="1" customWidth="1"/>
    <col min="15" max="16384" width="8.88671875" style="1"/>
  </cols>
  <sheetData>
    <row r="1" spans="1:14" ht="16.8" x14ac:dyDescent="0.3">
      <c r="A1" s="2" t="s">
        <v>104</v>
      </c>
    </row>
    <row r="2" spans="1:14" x14ac:dyDescent="0.25">
      <c r="A2" s="3" t="s">
        <v>105</v>
      </c>
    </row>
    <row r="4" spans="1:14" ht="42" customHeight="1" x14ac:dyDescent="0.25">
      <c r="A4" s="4" t="s">
        <v>106</v>
      </c>
      <c r="B4" s="4" t="s">
        <v>107</v>
      </c>
      <c r="C4" s="4" t="s">
        <v>5</v>
      </c>
      <c r="D4" s="4" t="s">
        <v>108</v>
      </c>
      <c r="E4" s="4" t="s">
        <v>109</v>
      </c>
      <c r="F4" s="4" t="s">
        <v>110</v>
      </c>
      <c r="G4" s="4" t="s">
        <v>111</v>
      </c>
      <c r="H4" s="4" t="s">
        <v>112</v>
      </c>
      <c r="I4" s="4" t="s">
        <v>113</v>
      </c>
      <c r="J4" s="4" t="s">
        <v>114</v>
      </c>
      <c r="K4" s="4" t="s">
        <v>115</v>
      </c>
      <c r="L4" s="4" t="s">
        <v>116</v>
      </c>
      <c r="M4" s="4" t="s">
        <v>117</v>
      </c>
      <c r="N4" s="4" t="s">
        <v>118</v>
      </c>
    </row>
    <row r="5" spans="1:14" x14ac:dyDescent="0.25">
      <c r="A5" s="11">
        <v>1</v>
      </c>
      <c r="B5" s="21" t="s">
        <v>119</v>
      </c>
      <c r="C5" s="11" t="s">
        <v>10</v>
      </c>
      <c r="D5" s="21" t="s">
        <v>120</v>
      </c>
      <c r="E5" s="12">
        <f>SoDiem</f>
        <v>2</v>
      </c>
      <c r="F5" s="12">
        <f>SoDiem*HeSo</f>
        <v>4</v>
      </c>
      <c r="G5" s="13">
        <f>IF(E5=0,"",F5/E5)</f>
        <v>2</v>
      </c>
      <c r="H5" s="12">
        <f>MaxSP</f>
        <v>99</v>
      </c>
      <c r="I5" s="14">
        <f>F5/H5</f>
        <v>4.0404040404040407E-2</v>
      </c>
      <c r="J5" s="11" t="str">
        <f>IF(I5&gt;=1,"VƯỢT – phải nâng cấp",IF(I5&gt;=NguongCanhBao,"Cảnh báo – lên kế hoạch","Đủ"))</f>
        <v>Đủ</v>
      </c>
      <c r="K5" s="21" t="s">
        <v>121</v>
      </c>
      <c r="L5" s="15"/>
      <c r="M5" s="15"/>
      <c r="N5" s="15"/>
    </row>
    <row r="6" spans="1:14" ht="26.4" x14ac:dyDescent="0.25">
      <c r="A6" s="11">
        <v>2</v>
      </c>
      <c r="B6" s="21" t="s">
        <v>122</v>
      </c>
      <c r="C6" s="11" t="s">
        <v>54</v>
      </c>
      <c r="D6" s="21" t="s">
        <v>123</v>
      </c>
      <c r="E6" s="16">
        <f>SoDiem/KhoangCach</f>
        <v>0.66666666666666663</v>
      </c>
      <c r="F6" s="16">
        <f>(SoDiem*HeSo)/KhoangCach</f>
        <v>1.3333333333333333</v>
      </c>
      <c r="G6" s="13">
        <f>IF(E6=0,"",F6/E6)</f>
        <v>2</v>
      </c>
      <c r="H6" s="12">
        <f>NangLuc</f>
        <v>50</v>
      </c>
      <c r="I6" s="14">
        <f>F6/H6</f>
        <v>2.6666666666666665E-2</v>
      </c>
      <c r="J6" s="11" t="str">
        <f>IF(I6&gt;=1,"VƯỢT – phải nâng cấp",IF(I6&gt;=NguongCanhBao,"Cảnh báo – lên kế hoạch","Đủ"))</f>
        <v>Đủ</v>
      </c>
      <c r="K6" s="21" t="s">
        <v>124</v>
      </c>
      <c r="L6" s="17"/>
      <c r="M6" s="17"/>
      <c r="N6" s="14" t="str">
        <f>IF(M6="","",(F6-M6)/M6)</f>
        <v/>
      </c>
    </row>
    <row r="7" spans="1:14" x14ac:dyDescent="0.25">
      <c r="A7" s="11">
        <v>3</v>
      </c>
      <c r="B7" s="21" t="s">
        <v>125</v>
      </c>
      <c r="C7" s="11" t="s">
        <v>54</v>
      </c>
      <c r="D7" s="21" t="s">
        <v>126</v>
      </c>
      <c r="E7" s="16">
        <f>SoDiem/KhoangCach*TiLeTB</f>
        <v>0.33333333333333331</v>
      </c>
      <c r="F7" s="16">
        <f>(SoDiem*HeSo)/KhoangCach*TiLeTB</f>
        <v>0.66666666666666663</v>
      </c>
      <c r="G7" s="13">
        <f>IF(E7=0,"",F7/E7)</f>
        <v>2</v>
      </c>
      <c r="H7" s="11"/>
      <c r="I7" s="11"/>
      <c r="J7" s="11" t="s">
        <v>127</v>
      </c>
      <c r="K7" s="21"/>
      <c r="L7" s="15"/>
      <c r="M7" s="15"/>
      <c r="N7" s="15"/>
    </row>
    <row r="8" spans="1:14" x14ac:dyDescent="0.25">
      <c r="A8" s="11">
        <v>4</v>
      </c>
      <c r="B8" s="21" t="s">
        <v>128</v>
      </c>
      <c r="C8" s="11" t="s">
        <v>88</v>
      </c>
      <c r="D8" s="21" t="s">
        <v>129</v>
      </c>
      <c r="E8" s="12">
        <f>3600/KhoangCach*GioNgay</f>
        <v>9600</v>
      </c>
      <c r="F8" s="12">
        <f>3600/KhoangCach*GioNgay</f>
        <v>9600</v>
      </c>
      <c r="G8" s="13">
        <f>IF(E8=0,"",F8/E8)</f>
        <v>1</v>
      </c>
      <c r="H8" s="12">
        <f>MaxGDNgay</f>
        <v>9999</v>
      </c>
      <c r="I8" s="14">
        <f>F8/H8</f>
        <v>0.96009600960096009</v>
      </c>
      <c r="J8" s="11" t="str">
        <f>IF(I8&gt;=1,"VƯỢT – phải nâng cấp",IF(I8&gt;=NguongCanhBao,"Cảnh báo – lên kế hoạch","Đủ"))</f>
        <v>Cảnh báo – lên kế hoạch</v>
      </c>
      <c r="K8" s="21" t="s">
        <v>130</v>
      </c>
      <c r="L8" s="15"/>
      <c r="M8" s="15"/>
      <c r="N8" s="15"/>
    </row>
    <row r="9" spans="1:14" x14ac:dyDescent="0.25">
      <c r="A9" s="11">
        <v>5</v>
      </c>
      <c r="B9" s="21" t="s">
        <v>131</v>
      </c>
      <c r="C9" s="11" t="s">
        <v>88</v>
      </c>
      <c r="D9" s="21" t="s">
        <v>132</v>
      </c>
      <c r="E9" s="12">
        <f>SoDiem*3600/KhoangCach*GioNgay</f>
        <v>19200</v>
      </c>
      <c r="F9" s="12">
        <f>(SoDiem*HeSo)*3600/KhoangCach*GioNgay</f>
        <v>38400</v>
      </c>
      <c r="G9" s="13">
        <f>IF(E9=0,"",F9/E9)</f>
        <v>2</v>
      </c>
      <c r="H9" s="11"/>
      <c r="I9" s="11"/>
      <c r="J9" s="11" t="s">
        <v>127</v>
      </c>
      <c r="K9" s="21"/>
      <c r="L9" s="18"/>
      <c r="M9" s="18"/>
      <c r="N9" s="14" t="str">
        <f>IF(M9="","",(F9-M9)/M9)</f>
        <v/>
      </c>
    </row>
    <row r="10" spans="1:14" x14ac:dyDescent="0.25">
      <c r="A10" s="11">
        <v>6</v>
      </c>
      <c r="B10" s="21" t="s">
        <v>133</v>
      </c>
      <c r="C10" s="11" t="s">
        <v>88</v>
      </c>
      <c r="D10" s="21" t="s">
        <v>134</v>
      </c>
      <c r="E10" s="12">
        <f>SoDiem*3600/KhoangCach*GioNgay*TiLeTB</f>
        <v>9600</v>
      </c>
      <c r="F10" s="12">
        <f>(SoDiem*HeSo)*3600/KhoangCach*GioNgay*TiLeTB</f>
        <v>19200</v>
      </c>
      <c r="G10" s="13">
        <f>IF(E10=0,"",F10/E10)</f>
        <v>2</v>
      </c>
      <c r="H10" s="11"/>
      <c r="I10" s="11"/>
      <c r="J10" s="11" t="s">
        <v>127</v>
      </c>
      <c r="K10" s="21"/>
      <c r="L10" s="15"/>
      <c r="M10" s="15"/>
      <c r="N10" s="15"/>
    </row>
    <row r="11" spans="1:14" x14ac:dyDescent="0.25">
      <c r="A11" s="11">
        <v>7</v>
      </c>
      <c r="B11" s="21" t="s">
        <v>135</v>
      </c>
      <c r="C11" s="11" t="s">
        <v>88</v>
      </c>
      <c r="D11" s="21" t="s">
        <v>136</v>
      </c>
      <c r="E11" s="12">
        <f>SoDiem*3600/KhoangCach*GioNgay*TiLeTB*NgayNam</f>
        <v>2880000</v>
      </c>
      <c r="F11" s="12">
        <f>(SoDiem*HeSo)*3600/KhoangCach*GioNgay*TiLeTB*NgayNam</f>
        <v>5760000</v>
      </c>
      <c r="G11" s="13">
        <f>IF(E11=0,"",F11/E11)</f>
        <v>2</v>
      </c>
      <c r="H11" s="11"/>
      <c r="I11" s="11"/>
      <c r="J11" s="11" t="s">
        <v>127</v>
      </c>
      <c r="K11" s="21"/>
      <c r="L11" s="15"/>
      <c r="M11" s="15"/>
      <c r="N11" s="15"/>
    </row>
    <row r="12" spans="1:14" x14ac:dyDescent="0.25">
      <c r="A12" s="11">
        <v>8</v>
      </c>
      <c r="B12" s="21" t="s">
        <v>137</v>
      </c>
      <c r="C12" s="11" t="s">
        <v>138</v>
      </c>
      <c r="D12" s="21" t="s">
        <v>139</v>
      </c>
      <c r="E12" s="16">
        <f>SoDiem*3600/KhoangCach*GioNgay*BytePerGD/10^6</f>
        <v>5.7792000000000003</v>
      </c>
      <c r="F12" s="16">
        <f>(SoDiem*HeSo)*3600/KhoangCach*GioNgay*BytePerGD/10^6</f>
        <v>11.558400000000001</v>
      </c>
      <c r="G12" s="13">
        <f>IF(E12=0,"",F12/E12)</f>
        <v>2</v>
      </c>
      <c r="H12" s="11"/>
      <c r="I12" s="11"/>
      <c r="J12" s="11" t="s">
        <v>127</v>
      </c>
      <c r="K12" s="21" t="s">
        <v>140</v>
      </c>
      <c r="L12" s="17"/>
      <c r="M12" s="17"/>
      <c r="N12" s="14" t="str">
        <f>IF(M12="","",(F12-M12)/M12)</f>
        <v/>
      </c>
    </row>
    <row r="13" spans="1:14" x14ac:dyDescent="0.25">
      <c r="A13" s="11">
        <v>9</v>
      </c>
      <c r="B13" s="21" t="s">
        <v>141</v>
      </c>
      <c r="C13" s="11" t="s">
        <v>64</v>
      </c>
      <c r="D13" s="21" t="s">
        <v>142</v>
      </c>
      <c r="E13" s="16">
        <f>SoDiem*3600/KhoangCach*GioNgay*TiLeTB*NgayNam*BytePerGD*NamLuu/10^9</f>
        <v>0.86687999999999998</v>
      </c>
      <c r="F13" s="16">
        <f>(SoDiem*HeSo)*3600/KhoangCach*GioNgay*TiLeTB*NgayNam*BytePerGD*NamLuu/10^9</f>
        <v>1.73376</v>
      </c>
      <c r="G13" s="13">
        <f>IF(E13=0,"",F13/E13)</f>
        <v>2</v>
      </c>
      <c r="H13" s="11"/>
      <c r="I13" s="11"/>
      <c r="J13" s="11" t="s">
        <v>127</v>
      </c>
      <c r="K13" s="21" t="s">
        <v>140</v>
      </c>
      <c r="L13" s="15"/>
      <c r="M13" s="15"/>
      <c r="N13" s="15"/>
    </row>
    <row r="14" spans="1:14" ht="26.4" x14ac:dyDescent="0.25">
      <c r="A14" s="11">
        <v>10</v>
      </c>
      <c r="B14" s="21" t="s">
        <v>143</v>
      </c>
      <c r="C14" s="11" t="s">
        <v>64</v>
      </c>
      <c r="D14" s="21" t="s">
        <v>144</v>
      </c>
      <c r="E14" s="16">
        <f>SoDiem*3600/KhoangCach*GioNgay*NgayNam*BytePerGD*NamLuu/10^9</f>
        <v>1.73376</v>
      </c>
      <c r="F14" s="16">
        <f>(SoDiem*HeSo)*3600/KhoangCach*GioNgay*NgayNam*BytePerGD*NamLuu/10^9</f>
        <v>3.4675199999999999</v>
      </c>
      <c r="G14" s="13">
        <f>IF(E14=0,"",F14/E14)</f>
        <v>2</v>
      </c>
      <c r="H14" s="11"/>
      <c r="I14" s="11"/>
      <c r="J14" s="11" t="s">
        <v>127</v>
      </c>
      <c r="K14" s="21" t="s">
        <v>140</v>
      </c>
      <c r="L14" s="15"/>
      <c r="M14" s="15"/>
      <c r="N14" s="15"/>
    </row>
    <row r="15" spans="1:14" x14ac:dyDescent="0.25">
      <c r="A15" s="11">
        <v>11</v>
      </c>
      <c r="B15" s="21" t="s">
        <v>145</v>
      </c>
      <c r="C15" s="11" t="s">
        <v>64</v>
      </c>
      <c r="D15" s="21" t="s">
        <v>146</v>
      </c>
      <c r="E15" s="16">
        <f>SoDiem*3600/KhoangCach*GioNgay*NgayNam*BytePerGD*NamLuu/10^9*SoBanSao</f>
        <v>19.071359999999999</v>
      </c>
      <c r="F15" s="16">
        <f>(SoDiem*HeSo)*3600/KhoangCach*GioNgay*NgayNam*BytePerGD*NamLuu/10^9*SoBanSao</f>
        <v>38.142719999999997</v>
      </c>
      <c r="G15" s="13">
        <f>IF(E15=0,"",F15/E15)</f>
        <v>2</v>
      </c>
      <c r="H15" s="12">
        <f>NAS</f>
        <v>1000</v>
      </c>
      <c r="I15" s="14">
        <f>F15/H15</f>
        <v>3.8142719999999998E-2</v>
      </c>
      <c r="J15" s="11" t="str">
        <f>IF(I15&gt;=1,"VƯỢT – phải nâng cấp",IF(I15&gt;=NguongCanhBao,"Cảnh báo – lên kế hoạch","Đủ"))</f>
        <v>Đủ</v>
      </c>
      <c r="K15" s="21" t="s">
        <v>147</v>
      </c>
      <c r="L15" s="15"/>
      <c r="M15" s="15"/>
      <c r="N15" s="15"/>
    </row>
    <row r="16" spans="1:14" x14ac:dyDescent="0.25">
      <c r="A16" s="11">
        <v>12</v>
      </c>
      <c r="B16" s="21" t="s">
        <v>148</v>
      </c>
      <c r="C16" s="11" t="s">
        <v>149</v>
      </c>
      <c r="D16" s="21" t="s">
        <v>150</v>
      </c>
      <c r="E16" s="16">
        <f>SoDiem/KhoangCach*ByteMang*8/1000</f>
        <v>10.922666666666666</v>
      </c>
      <c r="F16" s="16">
        <f>(SoDiem*HeSo)/KhoangCach*ByteMang*8/1000</f>
        <v>21.845333333333333</v>
      </c>
      <c r="G16" s="13">
        <f>IF(E16=0,"",F16/E16)</f>
        <v>2</v>
      </c>
      <c r="H16" s="12">
        <f>TocDoCong*1000</f>
        <v>100000</v>
      </c>
      <c r="I16" s="14">
        <f>F16/H16</f>
        <v>2.1845333333333334E-4</v>
      </c>
      <c r="J16" s="11" t="str">
        <f>IF(I16&gt;=1,"VƯỢT – phải nâng cấp",IF(I16&gt;=NguongCanhBao,"Cảnh báo – lên kế hoạch","Đủ"))</f>
        <v>Đủ</v>
      </c>
      <c r="K16" s="21" t="s">
        <v>151</v>
      </c>
      <c r="L16" s="17"/>
      <c r="M16" s="17"/>
      <c r="N16" s="14" t="str">
        <f>IF(M16="","",(F16-M16)/M16)</f>
        <v/>
      </c>
    </row>
    <row r="17" spans="1:14" x14ac:dyDescent="0.25">
      <c r="A17" s="11">
        <v>13</v>
      </c>
      <c r="B17" s="21" t="s">
        <v>152</v>
      </c>
      <c r="C17" s="11" t="s">
        <v>69</v>
      </c>
      <c r="D17" s="21" t="s">
        <v>153</v>
      </c>
      <c r="E17" s="12">
        <f>ROUNDUP(SoDiem*TiLeCoDay,0)</f>
        <v>1</v>
      </c>
      <c r="F17" s="12">
        <f>ROUNDUP((SoDiem*HeSo)*TiLeCoDay,0)</f>
        <v>2</v>
      </c>
      <c r="G17" s="13">
        <f>IF(E17=0,"",F17/E17)</f>
        <v>2</v>
      </c>
      <c r="H17" s="12">
        <f>CongCoDay</f>
        <v>7</v>
      </c>
      <c r="I17" s="14">
        <f>F17/H17</f>
        <v>0.2857142857142857</v>
      </c>
      <c r="J17" s="11" t="str">
        <f>IF(I17&gt;=1,"VƯỢT – phải nâng cấp",IF(I17&gt;=NguongCanhBao,"Cảnh báo – lên kế hoạch","Đủ"))</f>
        <v>Đủ</v>
      </c>
      <c r="K17" s="21" t="s">
        <v>154</v>
      </c>
      <c r="L17" s="15"/>
      <c r="M17" s="15"/>
      <c r="N17" s="15"/>
    </row>
    <row r="18" spans="1:14" x14ac:dyDescent="0.25">
      <c r="A18" s="11">
        <v>14</v>
      </c>
      <c r="B18" s="21" t="s">
        <v>155</v>
      </c>
      <c r="C18" s="11" t="s">
        <v>78</v>
      </c>
      <c r="D18" s="21" t="s">
        <v>156</v>
      </c>
      <c r="E18" s="12">
        <f>SoDiem-ROUNDUP(SoDiem*TiLeCoDay,0)</f>
        <v>1</v>
      </c>
      <c r="F18" s="12">
        <f>(SoDiem*HeSo)-ROUNDUP((SoDiem*HeSo)*TiLeCoDay,0)</f>
        <v>2</v>
      </c>
      <c r="G18" s="13">
        <f>IF(E18=0,"",F18/E18)</f>
        <v>2</v>
      </c>
      <c r="H18" s="12">
        <f>MaxWifi</f>
        <v>25</v>
      </c>
      <c r="I18" s="14">
        <f>F18/H18</f>
        <v>0.08</v>
      </c>
      <c r="J18" s="11" t="str">
        <f>IF(I18&gt;=1,"VƯỢT – phải nâng cấp",IF(I18&gt;=NguongCanhBao,"Cảnh báo – lên kế hoạch","Đủ"))</f>
        <v>Đủ</v>
      </c>
      <c r="K18" s="21" t="s">
        <v>157</v>
      </c>
      <c r="L18" s="15"/>
      <c r="M18" s="15"/>
      <c r="N18" s="15"/>
    </row>
    <row r="19" spans="1:14" x14ac:dyDescent="0.25">
      <c r="A19" s="11">
        <v>15</v>
      </c>
      <c r="B19" s="21" t="s">
        <v>158</v>
      </c>
      <c r="C19" s="11" t="s">
        <v>83</v>
      </c>
      <c r="D19" s="21" t="s">
        <v>159</v>
      </c>
      <c r="E19" s="12">
        <f>SoDiem+1</f>
        <v>3</v>
      </c>
      <c r="F19" s="12">
        <f>(SoDiem*HeSo)+1</f>
        <v>5</v>
      </c>
      <c r="G19" s="13">
        <f>IF(E19=0,"",F19/E19)</f>
        <v>1.6666666666666667</v>
      </c>
      <c r="H19" s="12">
        <f>IPVlan30</f>
        <v>253</v>
      </c>
      <c r="I19" s="14">
        <f>F19/H19</f>
        <v>1.9762845849802372E-2</v>
      </c>
      <c r="J19" s="11" t="str">
        <f>IF(I19&gt;=1,"VƯỢT – phải nâng cấp",IF(I19&gt;=NguongCanhBao,"Cảnh báo – lên kế hoạch","Đủ"))</f>
        <v>Đủ</v>
      </c>
      <c r="K19" s="21" t="s">
        <v>160</v>
      </c>
      <c r="L19" s="15"/>
      <c r="M19" s="15"/>
      <c r="N19" s="15"/>
    </row>
    <row r="20" spans="1:14" x14ac:dyDescent="0.25">
      <c r="A20" s="11">
        <v>16</v>
      </c>
      <c r="B20" s="21" t="s">
        <v>161</v>
      </c>
      <c r="C20" s="11" t="s">
        <v>162</v>
      </c>
      <c r="D20" s="21" t="s">
        <v>163</v>
      </c>
      <c r="E20" s="12">
        <f>SoDiem</f>
        <v>2</v>
      </c>
      <c r="F20" s="12">
        <f>(SoDiem*HeSo)</f>
        <v>4</v>
      </c>
      <c r="G20" s="13">
        <f>IF(E20=0,"",F20/E20)</f>
        <v>2</v>
      </c>
      <c r="H20" s="11"/>
      <c r="I20" s="11"/>
      <c r="J20" s="11" t="s">
        <v>127</v>
      </c>
      <c r="K20" s="21" t="s">
        <v>164</v>
      </c>
      <c r="L20" s="15"/>
      <c r="M20" s="15"/>
      <c r="N20" s="15"/>
    </row>
    <row r="21" spans="1:14" ht="26.4" x14ac:dyDescent="0.25">
      <c r="A21" s="11">
        <v>17</v>
      </c>
      <c r="B21" s="21" t="s">
        <v>165</v>
      </c>
      <c r="C21" s="11" t="s">
        <v>166</v>
      </c>
      <c r="D21" s="21" t="s">
        <v>167</v>
      </c>
      <c r="E21" s="11"/>
      <c r="F21" s="11"/>
      <c r="G21" s="11"/>
      <c r="H21" s="19">
        <v>500</v>
      </c>
      <c r="I21" s="14" t="str">
        <f>IF(M21="","",M21/H21)</f>
        <v/>
      </c>
      <c r="J21" s="11" t="str">
        <f>IF(M21="","Chờ SV4 đo",IF(I21&gt;=1,"VƯỢT – phải nâng cấp",IF(I21&gt;=NguongCanhBao,"Cảnh báo – lên kế hoạch","Đủ")))</f>
        <v>Chờ SV4 đo</v>
      </c>
      <c r="K21" s="21" t="s">
        <v>168</v>
      </c>
      <c r="L21" s="20"/>
      <c r="M21" s="20"/>
      <c r="N21" s="11"/>
    </row>
    <row r="23" spans="1:14" x14ac:dyDescent="0.25">
      <c r="B23" s="1" t="s">
        <v>169</v>
      </c>
    </row>
    <row r="24" spans="1:14" x14ac:dyDescent="0.25">
      <c r="B24" s="1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F65A-FCBA-474D-91EA-E7FA77C9B38C}">
  <dimension ref="A1:B12"/>
  <sheetViews>
    <sheetView workbookViewId="0"/>
  </sheetViews>
  <sheetFormatPr defaultRowHeight="13.2" x14ac:dyDescent="0.25"/>
  <cols>
    <col min="1" max="1" width="4.77734375" style="1" customWidth="1"/>
    <col min="2" max="2" width="150.77734375" style="1" customWidth="1"/>
    <col min="3" max="16384" width="8.88671875" style="1"/>
  </cols>
  <sheetData>
    <row r="1" spans="1:2" ht="16.8" x14ac:dyDescent="0.3">
      <c r="A1" s="2" t="s">
        <v>171</v>
      </c>
    </row>
    <row r="2" spans="1:2" x14ac:dyDescent="0.25">
      <c r="A2" s="3" t="s">
        <v>172</v>
      </c>
    </row>
    <row r="4" spans="1:2" ht="52.8" x14ac:dyDescent="0.25">
      <c r="A4" s="4" t="s">
        <v>106</v>
      </c>
      <c r="B4" s="4" t="s">
        <v>173</v>
      </c>
    </row>
    <row r="5" spans="1:2" x14ac:dyDescent="0.25">
      <c r="A5" s="11">
        <v>1</v>
      </c>
      <c r="B5" s="21" t="str">
        <f>"Tải đỉnh tăng từ "&amp;FIXED(UocLuong!E6,2)&amp;" lên "&amp;FIXED(UocLuong!F6,2)&amp;" GD/s, chiếm "&amp;FIXED(UocLuong!I6*100,1)&amp;"%"&amp;" năng lực máy chủ ước lượng ("&amp;NangLuc&amp;" GD/s) → "&amp;UocLuong!J6&amp;"."</f>
        <v>Tải đỉnh tăng từ 0,67 lên 1,33 GD/s, chiếm 2,7% năng lực máy chủ ước lượng (50 GD/s) → Đủ.</v>
      </c>
    </row>
    <row r="6" spans="1:2" x14ac:dyDescent="0.25">
      <c r="A6" s="11">
        <v>2</v>
      </c>
      <c r="B6" s="21" t="str">
        <f>"Băng thông đỉnh khoảng "&amp;FIXED(UocLuong!F16,1)&amp;" kbit/s ở 4 điểm, chỉ bằng "&amp;FIXED(UocLuong!I16*100,3)&amp;"%"&amp;" cổng "&amp;TocDoCong&amp;" Mbit/s → mạng LAN không phải điểm nghẽn."</f>
        <v>Băng thông đỉnh khoảng 21,8 kbit/s ở 4 điểm, chỉ bằng 0,022% cổng 100 Mbit/s → mạng LAN không phải điểm nghẽn.</v>
      </c>
    </row>
    <row r="7" spans="1:2" x14ac:dyDescent="0.25">
      <c r="A7" s="11">
        <v>3</v>
      </c>
      <c r="B7" s="21" t="str">
        <f>"CSDL tăng tối đa "&amp;FIXED(UocLuong!F12,1)&amp;" MB/ngày; sau "&amp;NamLuu&amp;" năm cận trên "&amp;FIXED(UocLuong!F14,2)&amp;" GB; sao lưu "&amp;SoBanSao&amp;" bản cần "&amp;FIXED(UocLuong!F15,1)&amp;" GB = "&amp;FIXED(UocLuong!I15*100,1)&amp;"%"&amp;" NAS → "&amp;UocLuong!J15&amp;"."</f>
        <v>CSDL tăng tối đa 11,6 MB/ngày; sau 1 năm cận trên 3,47 GB; sao lưu 11 bản cần 38,1 GB = 3,8% NAS → Đủ.</v>
      </c>
    </row>
    <row r="8" spans="1:2" x14ac:dyDescent="0.25">
      <c r="A8" s="11">
        <v>4</v>
      </c>
      <c r="B8" s="21" t="str">
        <f>"Cổng switch có dây cần "&amp;UocLuong!F17&amp;"/"&amp;CongCoDay&amp;" cổng dự phòng; máy quét Wi-Fi "&amp;UocLuong!F18&amp;"/"&amp;MaxWifi&amp;" trên 1 AP; IP VLAN 30 "&amp;UocLuong!F19&amp;"/"&amp;IPVlan30&amp;" → không phải mua thêm thiết bị mạng, chỉ cắm vào cổng dự phòng Fa0/12-13."</f>
        <v>Cổng switch có dây cần 2/7 cổng dự phòng; máy quét Wi-Fi 2/25 trên 1 AP; IP VLAN 30 5/253 → không phải mua thêm thiết bị mạng, chỉ cắm vào cổng dự phòng Fa0/12-13.</v>
      </c>
    </row>
    <row r="9" spans="1:2" x14ac:dyDescent="0.25">
      <c r="A9" s="11">
        <v>5</v>
      </c>
      <c r="B9" s="21" t="str">
        <f>"Mỗi điểm quét sinh tối đa "&amp;FIXED(UocLuong!E8,0)&amp;" GD/ngày, bằng "&amp;FIXED(UocLuong!I8*100,1)&amp;"%"&amp;" giới hạn "&amp;FIXED(MaxGDNgay,0)&amp;" của txn_id → "&amp;UocLuong!J8&amp;". Không phụ thuộc số điểm; chạy 2 ca trở lên phải tăng lên 5 chữ số."</f>
        <v>Mỗi điểm quét sinh tối đa 9.600 GD/ngày, bằng 96,0% giới hạn 9.999 của txn_id → Cảnh báo – lên kế hoạch. Không phụ thuộc số điểm; chạy 2 ca trở lên phải tăng lên 5 chữ số.</v>
      </c>
    </row>
    <row r="10" spans="1:2" ht="26.4" x14ac:dyDescent="0.25">
      <c r="A10" s="11">
        <v>6</v>
      </c>
      <c r="B10" s="21" t="s">
        <v>174</v>
      </c>
    </row>
    <row r="11" spans="1:2" ht="26.4" x14ac:dyDescent="0.25">
      <c r="A11" s="11">
        <v>7</v>
      </c>
      <c r="B11" s="21" t="s">
        <v>175</v>
      </c>
    </row>
    <row r="12" spans="1:2" ht="26.4" x14ac:dyDescent="0.25">
      <c r="A12" s="11">
        <v>8</v>
      </c>
      <c r="B12" s="21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A6A1-54B3-4CB4-897A-02FF35288557}">
  <dimension ref="A1:E16"/>
  <sheetViews>
    <sheetView workbookViewId="0"/>
  </sheetViews>
  <sheetFormatPr defaultRowHeight="13.2" x14ac:dyDescent="0.25"/>
  <cols>
    <col min="1" max="1" width="38.77734375" style="1" customWidth="1"/>
    <col min="2" max="5" width="18.77734375" style="1" customWidth="1"/>
    <col min="6" max="16384" width="8.88671875" style="1"/>
  </cols>
  <sheetData>
    <row r="1" spans="1:5" ht="16.8" x14ac:dyDescent="0.3">
      <c r="A1" s="2" t="s">
        <v>177</v>
      </c>
    </row>
    <row r="2" spans="1:5" x14ac:dyDescent="0.25">
      <c r="A2" s="3" t="s">
        <v>178</v>
      </c>
    </row>
    <row r="4" spans="1:5" ht="39.6" x14ac:dyDescent="0.25">
      <c r="A4" s="4" t="s">
        <v>107</v>
      </c>
      <c r="B4" s="4" t="s">
        <v>179</v>
      </c>
      <c r="C4" s="4" t="s">
        <v>180</v>
      </c>
      <c r="D4" s="4" t="s">
        <v>181</v>
      </c>
      <c r="E4" s="4" t="s">
        <v>182</v>
      </c>
    </row>
    <row r="5" spans="1:5" x14ac:dyDescent="0.25">
      <c r="A5" s="5" t="s">
        <v>183</v>
      </c>
      <c r="B5" s="10">
        <v>15</v>
      </c>
      <c r="C5" s="10">
        <v>15</v>
      </c>
      <c r="D5" s="10">
        <v>10</v>
      </c>
      <c r="E5" s="10">
        <v>10</v>
      </c>
    </row>
    <row r="6" spans="1:5" x14ac:dyDescent="0.25">
      <c r="A6" s="5" t="s">
        <v>184</v>
      </c>
      <c r="B6" s="10">
        <v>10</v>
      </c>
      <c r="C6" s="10">
        <v>20</v>
      </c>
      <c r="D6" s="10">
        <v>814</v>
      </c>
      <c r="E6" s="10">
        <v>1044</v>
      </c>
    </row>
    <row r="7" spans="1:5" x14ac:dyDescent="0.25">
      <c r="A7" s="5" t="s">
        <v>185</v>
      </c>
      <c r="B7" s="10">
        <v>9</v>
      </c>
      <c r="C7" s="10">
        <v>19</v>
      </c>
      <c r="D7" s="10">
        <v>767</v>
      </c>
      <c r="E7" s="10">
        <v>998</v>
      </c>
    </row>
    <row r="8" spans="1:5" x14ac:dyDescent="0.25">
      <c r="A8" s="5" t="s">
        <v>186</v>
      </c>
      <c r="B8" s="22">
        <v>46023</v>
      </c>
      <c r="C8" s="22">
        <v>46023</v>
      </c>
      <c r="D8" s="10" t="s">
        <v>187</v>
      </c>
      <c r="E8" s="10" t="s">
        <v>188</v>
      </c>
    </row>
    <row r="9" spans="1:5" x14ac:dyDescent="0.25">
      <c r="A9" s="5" t="s">
        <v>189</v>
      </c>
      <c r="B9" s="10">
        <v>0.6</v>
      </c>
      <c r="C9" s="10">
        <v>1.2669999999999999</v>
      </c>
      <c r="D9" s="10">
        <v>76.7</v>
      </c>
      <c r="E9" s="10">
        <v>99.8</v>
      </c>
    </row>
    <row r="10" spans="1:5" x14ac:dyDescent="0.25">
      <c r="A10" s="5" t="s">
        <v>190</v>
      </c>
      <c r="B10" s="10">
        <v>21.44</v>
      </c>
      <c r="C10" s="10">
        <v>24.13</v>
      </c>
      <c r="D10" s="10">
        <v>24.52</v>
      </c>
      <c r="E10" s="10">
        <v>38.270000000000003</v>
      </c>
    </row>
    <row r="11" spans="1:5" x14ac:dyDescent="0.25">
      <c r="A11" s="5" t="s">
        <v>191</v>
      </c>
      <c r="B11" s="10">
        <v>35.69</v>
      </c>
      <c r="C11" s="10">
        <v>39.19</v>
      </c>
      <c r="D11" s="10">
        <v>41.94</v>
      </c>
      <c r="E11" s="10">
        <v>74.510000000000005</v>
      </c>
    </row>
    <row r="12" spans="1:5" x14ac:dyDescent="0.25">
      <c r="A12" s="5" t="s">
        <v>192</v>
      </c>
      <c r="B12" s="10">
        <v>39.770000000000003</v>
      </c>
      <c r="C12" s="10">
        <v>45.22</v>
      </c>
      <c r="D12" s="10">
        <v>68.400000000000006</v>
      </c>
      <c r="E12" s="10">
        <v>219.2</v>
      </c>
    </row>
    <row r="13" spans="1:5" x14ac:dyDescent="0.25">
      <c r="A13" s="5" t="s">
        <v>193</v>
      </c>
      <c r="B13" s="10">
        <v>0</v>
      </c>
      <c r="C13" s="10">
        <v>0</v>
      </c>
      <c r="D13" s="10">
        <v>0</v>
      </c>
      <c r="E13" s="10">
        <v>0</v>
      </c>
    </row>
    <row r="14" spans="1:5" x14ac:dyDescent="0.25">
      <c r="A14" s="5" t="s">
        <v>194</v>
      </c>
      <c r="B14" s="10" t="b">
        <v>1</v>
      </c>
      <c r="C14" s="10" t="b">
        <v>1</v>
      </c>
      <c r="D14" s="10" t="b">
        <v>1</v>
      </c>
      <c r="E14" s="10" t="b">
        <v>1</v>
      </c>
    </row>
    <row r="16" spans="1:5" x14ac:dyDescent="0.25">
      <c r="A16" s="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GiaDinh</vt:lpstr>
      <vt:lpstr>UocLuong</vt:lpstr>
      <vt:lpstr>KetLuan</vt:lpstr>
      <vt:lpstr>ThuTai_GiaLap</vt:lpstr>
      <vt:lpstr>ByteMang</vt:lpstr>
      <vt:lpstr>BytePerGD</vt:lpstr>
      <vt:lpstr>CongCoDay</vt:lpstr>
      <vt:lpstr>GioNgay</vt:lpstr>
      <vt:lpstr>HeSo</vt:lpstr>
      <vt:lpstr>IPVlan30</vt:lpstr>
      <vt:lpstr>KhoangCach</vt:lpstr>
      <vt:lpstr>MaxGDNgay</vt:lpstr>
      <vt:lpstr>MaxSP</vt:lpstr>
      <vt:lpstr>MaxWifi</vt:lpstr>
      <vt:lpstr>NamLuu</vt:lpstr>
      <vt:lpstr>NangLuc</vt:lpstr>
      <vt:lpstr>NAS</vt:lpstr>
      <vt:lpstr>NgayNam</vt:lpstr>
      <vt:lpstr>NguongCanhBao</vt:lpstr>
      <vt:lpstr>SoBanSao</vt:lpstr>
      <vt:lpstr>SoDiem</vt:lpstr>
      <vt:lpstr>TiLeCoDay</vt:lpstr>
      <vt:lpstr>TiLeTB</vt:lpstr>
      <vt:lpstr>TocDoCong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Halp</dc:creator>
  <cp:lastModifiedBy>Halp</cp:lastModifiedBy>
  <dcterms:created xsi:type="dcterms:W3CDTF">2026-10-27T10:33:59Z</dcterms:created>
  <dcterms:modified xsi:type="dcterms:W3CDTF">2026-10-27T10:34:03Z</dcterms:modified>
</cp:coreProperties>
</file>